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Investor_Use_of_Funds" sheetId="3" state="visible" r:id="rId3"/>
    <sheet xmlns:r="http://schemas.openxmlformats.org/officeDocument/2006/relationships" name="Oslo_Pilot_Budget" sheetId="4" state="visible" r:id="rId4"/>
    <sheet xmlns:r="http://schemas.openxmlformats.org/officeDocument/2006/relationships" name="Grant_Budget_Template" sheetId="5" state="visible" r:id="rId5"/>
    <sheet xmlns:r="http://schemas.openxmlformats.org/officeDocument/2006/relationships" name="Runway_Scenario" sheetId="6" state="visible" r:id="rId6"/>
    <sheet xmlns:r="http://schemas.openxmlformats.org/officeDocument/2006/relationships" name="Revenue_Assumptions" sheetId="7" state="visible" r:id="rId7"/>
    <sheet xmlns:r="http://schemas.openxmlformats.org/officeDocument/2006/relationships" name="QA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5">
    <font>
      <name val="Calibri"/>
      <family val="2"/>
      <color theme="1"/>
      <sz val="11"/>
      <scheme val="minor"/>
    </font>
    <font>
      <name val="Aptos Display"/>
      <b val="1"/>
      <color rgb="002F3F2E"/>
      <sz val="20"/>
    </font>
    <font>
      <name val="Aptos"/>
      <color rgb="001F1F1F"/>
      <sz val="10"/>
    </font>
    <font>
      <name val="Aptos"/>
      <b val="1"/>
      <color rgb="002F3F2E"/>
      <sz val="10"/>
    </font>
    <font>
      <name val="Aptos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6F0E8"/>
      </patternFill>
    </fill>
    <fill>
      <patternFill patternType="solid">
        <fgColor rgb="00FBF7F1"/>
      </patternFill>
    </fill>
    <fill>
      <patternFill patternType="solid">
        <fgColor rgb="002F3F2E"/>
      </patternFill>
    </fill>
    <fill>
      <patternFill patternType="solid">
        <fgColor rgb="00E9ECE1"/>
      </patternFill>
    </fill>
    <fill>
      <patternFill patternType="solid">
        <fgColor rgb="00F8E4C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CABC"/>
      </left>
      <right style="thin">
        <color rgb="00D9CABC"/>
      </right>
      <top style="thin">
        <color rgb="00D9CABC"/>
      </top>
      <bottom style="thin">
        <color rgb="00D9CAB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9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4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  <col width="24" customWidth="1" min="3" max="3"/>
    <col width="32" customWidth="1" min="4" max="4"/>
  </cols>
  <sheetData>
    <row r="1" ht="34" customHeight="1">
      <c r="A1" s="1" t="inlineStr">
        <is>
          <t>Huddle Finance Model vNext v0.1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Status</t>
        </is>
      </c>
      <c r="B3" s="3" t="inlineStr">
        <is>
          <t>Internal finance-control workbook. Not approved for investor, grant or partner circulation.</t>
        </is>
      </c>
      <c r="C3" s="3" t="inlineStr">
        <is>
          <t>Owner</t>
        </is>
      </c>
      <c r="D3" s="3" t="inlineStr">
        <is>
          <t>Founder + finance/controller TBD</t>
        </is>
      </c>
      <c r="E3" s="2" t="n"/>
      <c r="F3" s="2" t="n"/>
      <c r="G3" s="2" t="n"/>
      <c r="H3" s="2" t="n"/>
    </row>
    <row r="4" ht="24" customHeight="1">
      <c r="A4" s="4" t="inlineStr">
        <is>
          <t>Date</t>
        </is>
      </c>
      <c r="B4" s="5" t="inlineStr">
        <is>
          <t>2026-07-18</t>
        </is>
      </c>
      <c r="C4" s="4" t="inlineStr">
        <is>
          <t>Currency</t>
        </is>
      </c>
      <c r="D4" s="5" t="inlineStr">
        <is>
          <t>NOK</t>
        </is>
      </c>
      <c r="E4" s="2" t="n"/>
      <c r="F4" s="2" t="n"/>
      <c r="G4" s="2" t="n"/>
      <c r="H4" s="2" t="n"/>
    </row>
    <row r="5" ht="24" customHeight="1">
      <c r="A5" s="6" t="inlineStr">
        <is>
          <t>Source base</t>
        </is>
      </c>
      <c r="B5" s="7" t="inlineStr">
        <is>
          <t>Claims Register v2.1, Investor Summary v2.1, Grant Narrative v2.1, Oslo Pilot Proposal v2.1</t>
        </is>
      </c>
      <c r="C5" s="6" t="inlineStr">
        <is>
          <t>External use</t>
        </is>
      </c>
      <c r="D5" s="8" t="inlineStr">
        <is>
          <t>Blocked until finance review</t>
        </is>
      </c>
      <c r="E5" s="2" t="n"/>
      <c r="F5" s="2" t="n"/>
      <c r="G5" s="2" t="n"/>
      <c r="H5" s="2" t="n"/>
    </row>
    <row r="6" ht="24" customHeight="1">
      <c r="A6" s="4" t="inlineStr">
        <is>
          <t>Core rule</t>
        </is>
      </c>
      <c r="B6" s="5" t="inlineStr">
        <is>
          <t>Separate investor ask, grant budget, Oslo pilot budget and actual expenditure. Do not mix them.</t>
        </is>
      </c>
      <c r="C6" s="4" t="inlineStr">
        <is>
          <t>Claim control</t>
        </is>
      </c>
      <c r="D6" s="5" t="inlineStr">
        <is>
          <t>Use C-004, C-005, C-018</t>
        </is>
      </c>
      <c r="E6" s="2" t="n"/>
      <c r="F6" s="2" t="n"/>
      <c r="G6" s="2" t="n"/>
      <c r="H6" s="2" t="n"/>
    </row>
    <row r="7" ht="24" customHeight="1">
      <c r="A7" s="6" t="inlineStr">
        <is>
          <t>Important warning</t>
        </is>
      </c>
      <c r="B7" s="9" t="inlineStr">
        <is>
          <t>All amounts in this workbook are editable draft placeholders unless explicitly marked approved by finance/controller.</t>
        </is>
      </c>
      <c r="C7" s="6" t="inlineStr">
        <is>
          <t>Approval</t>
        </is>
      </c>
      <c r="D7" s="8" t="inlineStr">
        <is>
          <t>Not approved</t>
        </is>
      </c>
      <c r="E7" s="2" t="n"/>
      <c r="F7" s="2" t="n"/>
      <c r="G7" s="2" t="n"/>
      <c r="H7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8" customWidth="1" min="3" max="3"/>
    <col width="28" customWidth="1" min="4" max="4"/>
    <col width="54" customWidth="1" min="5" max="5"/>
  </cols>
  <sheetData>
    <row r="1" ht="34" customHeight="1">
      <c r="A1" s="1" t="inlineStr">
        <is>
          <t>Inputs &amp; Scenario Controls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Input</t>
        </is>
      </c>
      <c r="B3" s="3" t="inlineStr">
        <is>
          <t>Base value</t>
        </is>
      </c>
      <c r="C3" s="3" t="inlineStr">
        <is>
          <t>Status</t>
        </is>
      </c>
      <c r="D3" s="3" t="inlineStr">
        <is>
          <t>Claim / source</t>
        </is>
      </c>
      <c r="E3" s="3" t="inlineStr">
        <is>
          <t>Notes</t>
        </is>
      </c>
      <c r="F3" s="2" t="n"/>
      <c r="G3" s="2" t="n"/>
      <c r="H3" s="2" t="n"/>
    </row>
    <row r="4" ht="24" customHeight="1">
      <c r="A4" s="5" t="inlineStr">
        <is>
          <t>Currency</t>
        </is>
      </c>
      <c r="B4" s="5" t="inlineStr">
        <is>
          <t>NOK</t>
        </is>
      </c>
      <c r="C4" s="5" t="inlineStr">
        <is>
          <t>Working</t>
        </is>
      </c>
      <c r="D4" s="5" t="inlineStr">
        <is>
          <t>Internal</t>
        </is>
      </c>
      <c r="E4" s="5" t="inlineStr">
        <is>
          <t>Use NOK across all model sheets.</t>
        </is>
      </c>
      <c r="F4" s="2" t="n"/>
      <c r="G4" s="2" t="n"/>
      <c r="H4" s="2" t="n"/>
    </row>
    <row r="5" ht="24" customHeight="1">
      <c r="A5" s="7" t="inlineStr">
        <is>
          <t>Planning round total</t>
        </is>
      </c>
      <c r="B5" s="10" t="n">
        <v>20000000</v>
      </c>
      <c r="C5" s="9" t="inlineStr">
        <is>
          <t>Planning assumption</t>
        </is>
      </c>
      <c r="D5" s="7" t="inlineStr">
        <is>
          <t>C-004</t>
        </is>
      </c>
      <c r="E5" s="7" t="inlineStr">
        <is>
          <t>Staged foundation/pre-seed planning model; not raised capital.</t>
        </is>
      </c>
      <c r="F5" s="2" t="n"/>
      <c r="G5" s="2" t="n"/>
      <c r="H5" s="2" t="n"/>
    </row>
    <row r="6" ht="24" customHeight="1">
      <c r="A6" s="5" t="inlineStr">
        <is>
          <t>Raised capital to date</t>
        </is>
      </c>
      <c r="B6" s="5" t="n">
        <v>0</v>
      </c>
      <c r="C6" s="5" t="inlineStr">
        <is>
          <t>Owner confirmed</t>
        </is>
      </c>
      <c r="D6" s="5" t="inlineStr">
        <is>
          <t>C-005</t>
        </is>
      </c>
      <c r="E6" s="5" t="inlineStr">
        <is>
          <t>Do not present as raised unless evidence exists.</t>
        </is>
      </c>
      <c r="F6" s="2" t="n"/>
      <c r="G6" s="2" t="n"/>
      <c r="H6" s="2" t="n"/>
    </row>
    <row r="7" ht="24" customHeight="1">
      <c r="A7" s="7" t="inlineStr">
        <is>
          <t>Validation period months</t>
        </is>
      </c>
      <c r="B7" s="7" t="n">
        <v>3</v>
      </c>
      <c r="C7" s="9" t="inlineStr">
        <is>
          <t>Planning assumption</t>
        </is>
      </c>
      <c r="D7" s="7" t="inlineStr">
        <is>
          <t>C-007/C-008/C-009</t>
        </is>
      </c>
      <c r="E7" s="7" t="inlineStr">
        <is>
          <t>90-day validation before MVP/pilot.</t>
        </is>
      </c>
      <c r="F7" s="2" t="n"/>
      <c r="G7" s="2" t="n"/>
      <c r="H7" s="2" t="n"/>
    </row>
    <row r="8" ht="24" customHeight="1">
      <c r="A8" s="5" t="inlineStr">
        <is>
          <t>MVP/build planning period months</t>
        </is>
      </c>
      <c r="B8" s="5" t="n">
        <v>6</v>
      </c>
      <c r="C8" s="9" t="inlineStr">
        <is>
          <t>Planning assumption</t>
        </is>
      </c>
      <c r="D8" s="5" t="inlineStr">
        <is>
          <t>MVP PRD v2</t>
        </is>
      </c>
      <c r="E8" s="5" t="inlineStr">
        <is>
          <t>Requires scope freeze.</t>
        </is>
      </c>
      <c r="F8" s="2" t="n"/>
      <c r="G8" s="2" t="n"/>
      <c r="H8" s="2" t="n"/>
    </row>
    <row r="9" ht="24" customHeight="1">
      <c r="A9" s="7" t="inlineStr">
        <is>
          <t>Controlled pilot period months</t>
        </is>
      </c>
      <c r="B9" s="7" t="n">
        <v>3</v>
      </c>
      <c r="C9" s="9" t="inlineStr">
        <is>
          <t>Planning assumption</t>
        </is>
      </c>
      <c r="D9" s="7" t="inlineStr">
        <is>
          <t>Pilot v2.1</t>
        </is>
      </c>
      <c r="E9" s="7" t="inlineStr">
        <is>
          <t>Phase 2 pilot placeholder.</t>
        </is>
      </c>
      <c r="F9" s="2" t="n"/>
      <c r="G9" s="2" t="n"/>
      <c r="H9" s="2" t="n"/>
    </row>
    <row r="10" ht="24" customHeight="1">
      <c r="A10" s="5" t="inlineStr">
        <is>
          <t>Extended repeat test months</t>
        </is>
      </c>
      <c r="B10" s="11" t="n">
        <v>3</v>
      </c>
      <c r="C10" s="9" t="inlineStr">
        <is>
          <t>Planning assumption</t>
        </is>
      </c>
      <c r="D10" s="5" t="inlineStr">
        <is>
          <t>Pilot v2.1</t>
        </is>
      </c>
      <c r="E10" s="5" t="inlineStr">
        <is>
          <t>Phase 3 repeat/ecosystem test placeholder.</t>
        </is>
      </c>
      <c r="F10" s="2" t="n"/>
      <c r="G10" s="2" t="n"/>
      <c r="H10" s="2" t="n"/>
    </row>
    <row r="11" ht="24" customHeight="1">
      <c r="A11" s="7" t="inlineStr">
        <is>
          <t>Contingency rate</t>
        </is>
      </c>
      <c r="B11" s="7" t="n">
        <v>0.1</v>
      </c>
      <c r="C11" s="9" t="inlineStr">
        <is>
          <t>Planning assumption</t>
        </is>
      </c>
      <c r="D11" s="7" t="inlineStr">
        <is>
          <t>Finance review needed</t>
        </is>
      </c>
      <c r="E11" s="7" t="inlineStr">
        <is>
          <t>Editable default.</t>
        </is>
      </c>
      <c r="F11" s="2" t="n"/>
      <c r="G11" s="2" t="n"/>
      <c r="H11" s="2" t="n"/>
    </row>
    <row r="12" ht="24" customHeight="1">
      <c r="A12" s="5" t="inlineStr">
        <is>
          <t>Finance approval status</t>
        </is>
      </c>
      <c r="B12" s="8" t="inlineStr">
        <is>
          <t>Not approved</t>
        </is>
      </c>
      <c r="C12" s="5" t="inlineStr">
        <is>
          <t>Control</t>
        </is>
      </c>
      <c r="D12" s="5" t="inlineStr">
        <is>
          <t>Internal</t>
        </is>
      </c>
      <c r="E12" s="5" t="inlineStr">
        <is>
          <t>Do not use externally.</t>
        </is>
      </c>
      <c r="F12" s="2" t="n"/>
      <c r="G12" s="2" t="n"/>
      <c r="H12" s="2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4" customWidth="1" min="4" max="4"/>
    <col width="20" customWidth="1" min="5" max="5"/>
    <col width="22" customWidth="1" min="6" max="6"/>
    <col width="58" customWidth="1" min="7" max="7"/>
  </cols>
  <sheetData>
    <row r="1" ht="34" customHeight="1">
      <c r="A1" s="1" t="inlineStr">
        <is>
          <t>Investor Use of Funds ? Draft Allocation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Category</t>
        </is>
      </c>
      <c r="B3" s="3" t="inlineStr">
        <is>
          <t>Draft amount</t>
        </is>
      </c>
      <c r="C3" s="3" t="inlineStr">
        <is>
          <t>% of total</t>
        </is>
      </c>
      <c r="D3" s="3" t="inlineStr">
        <is>
          <t>Stage</t>
        </is>
      </c>
      <c r="E3" s="3" t="inlineStr">
        <is>
          <t>Status</t>
        </is>
      </c>
      <c r="F3" s="3" t="inlineStr">
        <is>
          <t>Claim/control</t>
        </is>
      </c>
      <c r="G3" s="3" t="inlineStr">
        <is>
          <t>Notes</t>
        </is>
      </c>
      <c r="H3" s="2" t="n"/>
    </row>
    <row r="4" ht="24" customHeight="1">
      <c r="A4" s="5" t="inlineStr">
        <is>
          <t>90-day validation</t>
        </is>
      </c>
      <c r="B4" s="12" t="n">
        <v>1800000</v>
      </c>
      <c r="C4" s="13">
        <f>B4/SUM($B$4:$B$11)</f>
        <v/>
      </c>
      <c r="D4" s="5" t="inlineStr">
        <is>
          <t>Pre-MVP</t>
        </is>
      </c>
      <c r="E4" s="9" t="inlineStr">
        <is>
          <t>Draft placeholder</t>
        </is>
      </c>
      <c r="F4" s="5" t="inlineStr">
        <is>
          <t>C-007/C-008/C-009</t>
        </is>
      </c>
      <c r="G4" s="5" t="inlineStr">
        <is>
          <t>Research, interviews, prototype tests, evidence repository.</t>
        </is>
      </c>
      <c r="H4" s="2" t="n"/>
    </row>
    <row r="5" ht="24" customHeight="1">
      <c r="A5" s="7" t="inlineStr">
        <is>
          <t>MVP and mobile delivery</t>
        </is>
      </c>
      <c r="B5" s="10" t="n">
        <v>7000000</v>
      </c>
      <c r="C5" s="14">
        <f>B5/SUM($B$4:$B$11)</f>
        <v/>
      </c>
      <c r="D5" s="7" t="inlineStr">
        <is>
          <t>MVP build</t>
        </is>
      </c>
      <c r="E5" s="9" t="inlineStr">
        <is>
          <t>Draft placeholder</t>
        </is>
      </c>
      <c r="F5" s="7" t="inlineStr">
        <is>
          <t>MVP scope TBD</t>
        </is>
      </c>
      <c r="G5" s="7" t="inlineStr">
        <is>
          <t>Product, engineering, QA, infrastructure; requires scope freeze.</t>
        </is>
      </c>
      <c r="H5" s="2" t="n"/>
    </row>
    <row r="6" ht="24" customHeight="1">
      <c r="A6" s="5" t="inlineStr">
        <is>
          <t>Privacy, Trust &amp; Safety and legal</t>
        </is>
      </c>
      <c r="B6" s="12" t="n">
        <v>1500000</v>
      </c>
      <c r="C6" s="13">
        <f>B6/SUM($B$4:$B$11)</f>
        <v/>
      </c>
      <c r="D6" s="5" t="inlineStr">
        <is>
          <t>Pre-pilot + pilot</t>
        </is>
      </c>
      <c r="E6" s="9" t="inlineStr">
        <is>
          <t>Draft placeholder</t>
        </is>
      </c>
      <c r="F6" s="5" t="inlineStr">
        <is>
          <t>C-016/C-017</t>
        </is>
      </c>
      <c r="G6" s="5" t="inlineStr">
        <is>
          <t>DPIA baseline, privacy/legal review, moderation setup, incident process.</t>
        </is>
      </c>
      <c r="H6" s="2" t="n"/>
    </row>
    <row r="7" ht="24" customHeight="1">
      <c r="A7" s="7" t="inlineStr">
        <is>
          <t>Product design, brand and website</t>
        </is>
      </c>
      <c r="B7" s="10" t="n">
        <v>1400000</v>
      </c>
      <c r="C7" s="14">
        <f>B7/SUM($B$4:$B$11)</f>
        <v/>
      </c>
      <c r="D7" s="7" t="inlineStr">
        <is>
          <t>MVP + external materials</t>
        </is>
      </c>
      <c r="E7" s="9" t="inlineStr">
        <is>
          <t>Draft placeholder</t>
        </is>
      </c>
      <c r="F7" s="7" t="inlineStr">
        <is>
          <t>C-022/C-023</t>
        </is>
      </c>
      <c r="G7" s="7" t="inlineStr">
        <is>
          <t>Design system, website, investor/grant/pilot PDFs.</t>
        </is>
      </c>
      <c r="H7" s="2" t="n"/>
    </row>
    <row r="8" ht="24" customHeight="1">
      <c r="A8" s="5" t="inlineStr">
        <is>
          <t>Oslo pilot operations</t>
        </is>
      </c>
      <c r="B8" s="12" t="n">
        <v>2400000</v>
      </c>
      <c r="C8" s="13">
        <f>B8/SUM($B$4:$B$11)</f>
        <v/>
      </c>
      <c r="D8" s="5" t="inlineStr">
        <is>
          <t>Pilot</t>
        </is>
      </c>
      <c r="E8" s="9" t="inlineStr">
        <is>
          <t>Draft placeholder</t>
        </is>
      </c>
      <c r="F8" s="5" t="inlineStr">
        <is>
          <t>C-001/C-006/C-010</t>
        </is>
      </c>
      <c r="G8" s="5" t="inlineStr">
        <is>
          <t>City-cell operation, organiser onboarding, support and measurement.</t>
        </is>
      </c>
      <c r="H8" s="2" t="n"/>
    </row>
    <row r="9" ht="24" customHeight="1">
      <c r="A9" s="7" t="inlineStr">
        <is>
          <t>Community, organiser and launch growth</t>
        </is>
      </c>
      <c r="B9" s="10" t="n">
        <v>1600000</v>
      </c>
      <c r="C9" s="14">
        <f>B9/SUM($B$4:$B$11)</f>
        <v/>
      </c>
      <c r="D9" s="7" t="inlineStr">
        <is>
          <t>Validation + pilot</t>
        </is>
      </c>
      <c r="E9" s="9" t="inlineStr">
        <is>
          <t>Draft placeholder</t>
        </is>
      </c>
      <c r="F9" s="7" t="inlineStr">
        <is>
          <t>Growth model TBD</t>
        </is>
      </c>
      <c r="G9" s="7" t="inlineStr">
        <is>
          <t>Local outreach, content, parent recruitment, organiser enablement.</t>
        </is>
      </c>
      <c r="H9" s="2" t="n"/>
    </row>
    <row r="10" ht="24" customHeight="1">
      <c r="A10" s="5" t="inlineStr">
        <is>
          <t>Core team and operations</t>
        </is>
      </c>
      <c r="B10" s="12" t="n">
        <v>3000000</v>
      </c>
      <c r="C10" s="13">
        <f>B10/SUM($B$4:$B$11)</f>
        <v/>
      </c>
      <c r="D10" s="5" t="inlineStr">
        <is>
          <t>All stages</t>
        </is>
      </c>
      <c r="E10" s="9" t="inlineStr">
        <is>
          <t>Draft placeholder</t>
        </is>
      </c>
      <c r="F10" s="5" t="inlineStr">
        <is>
          <t>Team model</t>
        </is>
      </c>
      <c r="G10" s="5" t="inlineStr">
        <is>
          <t>Founder/ops/admin/accounting/core execution support.</t>
        </is>
      </c>
      <c r="H10" s="2" t="n"/>
    </row>
    <row r="11" ht="24" customHeight="1">
      <c r="A11" s="7" t="inlineStr">
        <is>
          <t>Contingency and reserve</t>
        </is>
      </c>
      <c r="B11" s="10" t="n">
        <v>1300000</v>
      </c>
      <c r="C11" s="14">
        <f>B11/SUM($B$4:$B$11)</f>
        <v/>
      </c>
      <c r="D11" s="7" t="inlineStr">
        <is>
          <t>All stages</t>
        </is>
      </c>
      <c r="E11" s="9" t="inlineStr">
        <is>
          <t>Draft placeholder</t>
        </is>
      </c>
      <c r="F11" s="7" t="inlineStr">
        <is>
          <t>Finance review needed</t>
        </is>
      </c>
      <c r="G11" s="7" t="inlineStr">
        <is>
          <t>Risk reserve; should be recalculated after detailed budgets.</t>
        </is>
      </c>
      <c r="H11" s="2" t="n"/>
    </row>
    <row r="12" ht="24" customHeight="1">
      <c r="A12" s="5" t="inlineStr">
        <is>
          <t>Total</t>
        </is>
      </c>
      <c r="B12" s="12">
        <f>SUM(B4:B11)</f>
        <v/>
      </c>
      <c r="C12" s="13">
        <f>B12/Inputs!B5</f>
        <v/>
      </c>
      <c r="D12" s="5" t="n"/>
      <c r="E12" s="5" t="n"/>
      <c r="F12" s="5" t="n"/>
      <c r="G12" s="5" t="n"/>
      <c r="H12" s="2" t="n"/>
    </row>
  </sheetData>
  <mergeCells count="1">
    <mergeCell ref="A1:H1"/>
  </mergeCells>
  <dataValidations count="1">
    <dataValidation sqref="E4:E11" showDropDown="0" showInputMessage="0" showErrorMessage="0" allowBlank="1" type="list">
      <formula1>"Draft placeholder,Planning assumption,Needs owner input,Needs review,Needs quote,Needs model,Blocked,Pass if unchanged,Not approved,Approved,Needs live verification,Needs accounting setup,Formula 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12" customWidth="1" min="4" max="4"/>
    <col width="12" customWidth="1" min="5" max="5"/>
    <col width="16" customWidth="1" min="6" max="6"/>
    <col width="12" customWidth="1" min="7" max="7"/>
    <col width="18" customWidth="1" min="8" max="8"/>
    <col width="20" customWidth="1" min="9" max="9"/>
    <col width="52" customWidth="1" min="10" max="10"/>
  </cols>
  <sheetData>
    <row r="1" ht="34" customHeight="1">
      <c r="A1" s="1" t="inlineStr">
        <is>
          <t>Oslo City-Cell Pilot Budget ? Draft Template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Phase</t>
        </is>
      </c>
      <c r="B3" s="3" t="inlineStr">
        <is>
          <t>Category</t>
        </is>
      </c>
      <c r="C3" s="3" t="inlineStr">
        <is>
          <t>Line item</t>
        </is>
      </c>
      <c r="D3" s="3" t="inlineStr">
        <is>
          <t>Unit</t>
        </is>
      </c>
      <c r="E3" s="3" t="inlineStr">
        <is>
          <t>Qty</t>
        </is>
      </c>
      <c r="F3" s="3" t="inlineStr">
        <is>
          <t>Unit cost</t>
        </is>
      </c>
      <c r="G3" s="3" t="inlineStr">
        <is>
          <t>Months</t>
        </is>
      </c>
      <c r="H3" s="3" t="inlineStr">
        <is>
          <t>Draft total</t>
        </is>
      </c>
      <c r="I3" s="3" t="inlineStr">
        <is>
          <t>Status</t>
        </is>
      </c>
      <c r="J3" s="3" t="inlineStr">
        <is>
          <t>Notes</t>
        </is>
      </c>
    </row>
    <row r="4" ht="24" customHeight="1">
      <c r="A4" s="5" t="inlineStr">
        <is>
          <t>Phase 0</t>
        </is>
      </c>
      <c r="B4" s="5" t="inlineStr">
        <is>
          <t>Research</t>
        </is>
      </c>
      <c r="C4" s="5" t="inlineStr">
        <is>
          <t>Parent/caregiver interviews</t>
        </is>
      </c>
      <c r="D4" s="5" t="inlineStr">
        <is>
          <t>interview</t>
        </is>
      </c>
      <c r="E4" s="5" t="n">
        <v>60</v>
      </c>
      <c r="F4" s="12" t="n">
        <v>0</v>
      </c>
      <c r="G4" s="5" t="n">
        <v>1</v>
      </c>
      <c r="H4" s="12">
        <f>E4*F4*G4</f>
        <v/>
      </c>
      <c r="I4" s="9" t="inlineStr">
        <is>
          <t>Needs owner input</t>
        </is>
      </c>
      <c r="J4" s="5" t="inlineStr">
        <is>
          <t>Can include incentives, recruiting or outsourced research if approved.</t>
        </is>
      </c>
    </row>
    <row r="5" ht="24" customHeight="1">
      <c r="A5" s="7" t="inlineStr">
        <is>
          <t>Phase 0</t>
        </is>
      </c>
      <c r="B5" s="7" t="inlineStr">
        <is>
          <t>Research</t>
        </is>
      </c>
      <c r="C5" s="7" t="inlineStr">
        <is>
          <t>Organiser and supply conversations</t>
        </is>
      </c>
      <c r="D5" s="7" t="inlineStr">
        <is>
          <t>conversation</t>
        </is>
      </c>
      <c r="E5" s="7" t="n">
        <v>30</v>
      </c>
      <c r="F5" s="10" t="n">
        <v>0</v>
      </c>
      <c r="G5" s="7" t="n">
        <v>1</v>
      </c>
      <c r="H5" s="10">
        <f>E5*F5*G5</f>
        <v/>
      </c>
      <c r="I5" s="9" t="inlineStr">
        <is>
          <t>Needs owner input</t>
        </is>
      </c>
      <c r="J5" s="7" t="inlineStr">
        <is>
          <t>May be internal work or contracted research.</t>
        </is>
      </c>
    </row>
    <row r="6" ht="24" customHeight="1">
      <c r="A6" s="5" t="inlineStr">
        <is>
          <t>Phase 0</t>
        </is>
      </c>
      <c r="B6" s="5" t="inlineStr">
        <is>
          <t>Public-value</t>
        </is>
      </c>
      <c r="C6" s="5" t="inlineStr">
        <is>
          <t>Municipality/NGO conversations</t>
        </is>
      </c>
      <c r="D6" s="5" t="inlineStr">
        <is>
          <t>conversation</t>
        </is>
      </c>
      <c r="E6" s="5" t="n">
        <v>20</v>
      </c>
      <c r="F6" s="12" t="n">
        <v>0</v>
      </c>
      <c r="G6" s="5" t="n">
        <v>1</v>
      </c>
      <c r="H6" s="12">
        <f>E6*F6*G6</f>
        <v/>
      </c>
      <c r="I6" s="9" t="inlineStr">
        <is>
          <t>Needs owner input</t>
        </is>
      </c>
      <c r="J6" s="5" t="inlineStr">
        <is>
          <t>Partner outreach and documentation.</t>
        </is>
      </c>
    </row>
    <row r="7" ht="24" customHeight="1">
      <c r="A7" s="7" t="inlineStr">
        <is>
          <t>Phase 0</t>
        </is>
      </c>
      <c r="B7" s="7" t="inlineStr">
        <is>
          <t>Privacy/legal</t>
        </is>
      </c>
      <c r="C7" s="7" t="inlineStr">
        <is>
          <t>Preliminary DPIA and consent review</t>
        </is>
      </c>
      <c r="D7" s="7" t="inlineStr">
        <is>
          <t>package</t>
        </is>
      </c>
      <c r="E7" s="7" t="n">
        <v>1</v>
      </c>
      <c r="F7" s="10" t="n">
        <v>0</v>
      </c>
      <c r="G7" s="7" t="n">
        <v>1</v>
      </c>
      <c r="H7" s="10">
        <f>E7*F7*G7</f>
        <v/>
      </c>
      <c r="I7" s="9" t="inlineStr">
        <is>
          <t>Needs quote</t>
        </is>
      </c>
      <c r="J7" s="7" t="inlineStr">
        <is>
          <t>Must be reviewed by qualified advisor.</t>
        </is>
      </c>
    </row>
    <row r="8" ht="24" customHeight="1">
      <c r="A8" s="5" t="inlineStr">
        <is>
          <t>Phase 0</t>
        </is>
      </c>
      <c r="B8" s="5" t="inlineStr">
        <is>
          <t>Product</t>
        </is>
      </c>
      <c r="C8" s="5" t="inlineStr">
        <is>
          <t>Prototype/MVP scope freeze support</t>
        </is>
      </c>
      <c r="D8" s="5" t="inlineStr">
        <is>
          <t>package</t>
        </is>
      </c>
      <c r="E8" s="5" t="n">
        <v>1</v>
      </c>
      <c r="F8" s="12" t="n">
        <v>0</v>
      </c>
      <c r="G8" s="5" t="n">
        <v>1</v>
      </c>
      <c r="H8" s="12">
        <f>E8*F8*G8</f>
        <v/>
      </c>
      <c r="I8" s="9" t="inlineStr">
        <is>
          <t>Needs owner input</t>
        </is>
      </c>
      <c r="J8" s="5" t="inlineStr">
        <is>
          <t>Product/design/tech workshops.</t>
        </is>
      </c>
    </row>
    <row r="9" ht="24" customHeight="1">
      <c r="A9" s="7" t="inlineStr">
        <is>
          <t>Phase 1</t>
        </is>
      </c>
      <c r="B9" s="7" t="inlineStr">
        <is>
          <t>Operations</t>
        </is>
      </c>
      <c r="C9" s="7" t="inlineStr">
        <is>
          <t>City-cell lead / pilot operations</t>
        </is>
      </c>
      <c r="D9" s="7" t="inlineStr">
        <is>
          <t>month</t>
        </is>
      </c>
      <c r="E9" s="7" t="n">
        <v>1</v>
      </c>
      <c r="F9" s="10" t="n">
        <v>0</v>
      </c>
      <c r="G9" s="7" t="n">
        <v>2</v>
      </c>
      <c r="H9" s="10">
        <f>E9*F9*G9</f>
        <v/>
      </c>
      <c r="I9" s="9" t="inlineStr">
        <is>
          <t>Needs owner input</t>
        </is>
      </c>
      <c r="J9" s="7" t="inlineStr">
        <is>
          <t>Owner and cadence required.</t>
        </is>
      </c>
    </row>
    <row r="10" ht="24" customHeight="1">
      <c r="A10" s="5" t="inlineStr">
        <is>
          <t>Phase 1</t>
        </is>
      </c>
      <c r="B10" s="5" t="inlineStr">
        <is>
          <t>Supply</t>
        </is>
      </c>
      <c r="C10" s="5" t="inlineStr">
        <is>
          <t>Organiser onboarding and data cleanup</t>
        </is>
      </c>
      <c r="D10" s="5" t="inlineStr">
        <is>
          <t>organiser</t>
        </is>
      </c>
      <c r="E10" s="5" t="n">
        <v>25</v>
      </c>
      <c r="F10" s="12" t="n">
        <v>0</v>
      </c>
      <c r="G10" s="5" t="n">
        <v>1</v>
      </c>
      <c r="H10" s="12">
        <f>E10*F10*G10</f>
        <v/>
      </c>
      <c r="I10" s="9" t="inlineStr">
        <is>
          <t>Needs owner input</t>
        </is>
      </c>
      <c r="J10" s="5" t="inlineStr">
        <is>
          <t>Listings, age fit, price, capacity and accessibility data.</t>
        </is>
      </c>
    </row>
    <row r="11" ht="24" customHeight="1">
      <c r="A11" s="7" t="inlineStr">
        <is>
          <t>Phase 1</t>
        </is>
      </c>
      <c r="B11" s="7" t="inlineStr">
        <is>
          <t>Community</t>
        </is>
      </c>
      <c r="C11" s="7" t="inlineStr">
        <is>
          <t>Family cohort recruitment</t>
        </is>
      </c>
      <c r="D11" s="7" t="inlineStr">
        <is>
          <t>cohort</t>
        </is>
      </c>
      <c r="E11" s="7" t="n">
        <v>1</v>
      </c>
      <c r="F11" s="10" t="n">
        <v>0</v>
      </c>
      <c r="G11" s="7" t="n">
        <v>1</v>
      </c>
      <c r="H11" s="10">
        <f>E11*F11*G11</f>
        <v/>
      </c>
      <c r="I11" s="9" t="inlineStr">
        <is>
          <t>Needs owner input</t>
        </is>
      </c>
      <c r="J11" s="7" t="inlineStr">
        <is>
          <t>Recruitment channels and consent process.</t>
        </is>
      </c>
    </row>
    <row r="12" ht="24" customHeight="1">
      <c r="A12" s="5" t="inlineStr">
        <is>
          <t>Phase 2</t>
        </is>
      </c>
      <c r="B12" s="5" t="inlineStr">
        <is>
          <t>Product/tech</t>
        </is>
      </c>
      <c r="C12" s="5" t="inlineStr">
        <is>
          <t>Controlled MVP/prototype operation</t>
        </is>
      </c>
      <c r="D12" s="5" t="inlineStr">
        <is>
          <t>month</t>
        </is>
      </c>
      <c r="E12" s="5" t="n">
        <v>1</v>
      </c>
      <c r="F12" s="12" t="n">
        <v>0</v>
      </c>
      <c r="G12" s="5" t="n">
        <v>3</v>
      </c>
      <c r="H12" s="12">
        <f>E12*F12*G12</f>
        <v/>
      </c>
      <c r="I12" s="9" t="inlineStr">
        <is>
          <t>Needs model</t>
        </is>
      </c>
      <c r="J12" s="5" t="inlineStr">
        <is>
          <t>Hosting, tools, maintenance, fixes.</t>
        </is>
      </c>
    </row>
    <row r="13" ht="24" customHeight="1">
      <c r="A13" s="7" t="inlineStr">
        <is>
          <t>Phase 2</t>
        </is>
      </c>
      <c r="B13" s="7" t="inlineStr">
        <is>
          <t>Trust &amp; Safety</t>
        </is>
      </c>
      <c r="C13" s="7" t="inlineStr">
        <is>
          <t>Support/moderation coverage</t>
        </is>
      </c>
      <c r="D13" s="7" t="inlineStr">
        <is>
          <t>month</t>
        </is>
      </c>
      <c r="E13" s="7" t="n">
        <v>1</v>
      </c>
      <c r="F13" s="10" t="n">
        <v>0</v>
      </c>
      <c r="G13" s="7" t="n">
        <v>3</v>
      </c>
      <c r="H13" s="10">
        <f>E13*F13*G13</f>
        <v/>
      </c>
      <c r="I13" s="9" t="inlineStr">
        <is>
          <t>Needs model</t>
        </is>
      </c>
      <c r="J13" s="7" t="inlineStr">
        <is>
          <t>Manual ops acceptable for pilot.</t>
        </is>
      </c>
    </row>
    <row r="14" ht="24" customHeight="1">
      <c r="A14" s="5" t="inlineStr">
        <is>
          <t>Phase 2</t>
        </is>
      </c>
      <c r="B14" s="5" t="inlineStr">
        <is>
          <t>Measurement</t>
        </is>
      </c>
      <c r="C14" s="5" t="inlineStr">
        <is>
          <t>Pilot reporting and weekly review</t>
        </is>
      </c>
      <c r="D14" s="5" t="inlineStr">
        <is>
          <t>month</t>
        </is>
      </c>
      <c r="E14" s="5" t="n">
        <v>1</v>
      </c>
      <c r="F14" s="12" t="n">
        <v>0</v>
      </c>
      <c r="G14" s="5" t="n">
        <v>3</v>
      </c>
      <c r="H14" s="12">
        <f>E14*F14*G14</f>
        <v/>
      </c>
      <c r="I14" s="9" t="inlineStr">
        <is>
          <t>Needs owner input</t>
        </is>
      </c>
      <c r="J14" s="5" t="inlineStr">
        <is>
          <t>Aggregate reporting only.</t>
        </is>
      </c>
    </row>
    <row r="15" ht="24" customHeight="1">
      <c r="A15" s="7" t="inlineStr">
        <is>
          <t>Phase 3</t>
        </is>
      </c>
      <c r="B15" s="7" t="inlineStr">
        <is>
          <t>Repeat test</t>
        </is>
      </c>
      <c r="C15" s="7" t="inlineStr">
        <is>
          <t>Repeat participation and second-cell playbook</t>
        </is>
      </c>
      <c r="D15" s="7" t="inlineStr">
        <is>
          <t>package</t>
        </is>
      </c>
      <c r="E15" s="7" t="n">
        <v>1</v>
      </c>
      <c r="F15" s="10" t="n">
        <v>0</v>
      </c>
      <c r="G15" s="7" t="n">
        <v>1</v>
      </c>
      <c r="H15" s="10">
        <f>E15*F15*G15</f>
        <v/>
      </c>
      <c r="I15" s="9" t="inlineStr">
        <is>
          <t>Needs owner input</t>
        </is>
      </c>
      <c r="J15" s="7" t="inlineStr">
        <is>
          <t>After Phase 2 review.</t>
        </is>
      </c>
    </row>
    <row r="16" ht="24" customHeight="1">
      <c r="A16" s="5" t="inlineStr">
        <is>
          <t>All</t>
        </is>
      </c>
      <c r="B16" s="5" t="inlineStr">
        <is>
          <t>Contingency</t>
        </is>
      </c>
      <c r="C16" s="5" t="inlineStr">
        <is>
          <t>Pilot contingency reserve</t>
        </is>
      </c>
      <c r="D16" s="5" t="inlineStr">
        <is>
          <t>rate</t>
        </is>
      </c>
      <c r="E16" s="5" t="n">
        <v>1</v>
      </c>
      <c r="F16" s="12" t="n">
        <v>0</v>
      </c>
      <c r="G16" s="5" t="n">
        <v>1</v>
      </c>
      <c r="H16" s="12">
        <f>SUM(H4:H15)*Inputs!B10</f>
        <v/>
      </c>
      <c r="I16" s="5" t="inlineStr">
        <is>
          <t>Formula pending</t>
        </is>
      </c>
      <c r="J16" s="5" t="inlineStr">
        <is>
          <t>Use after direct costs are filled.</t>
        </is>
      </c>
    </row>
    <row r="17" ht="24" customHeight="1">
      <c r="A17" s="15" t="inlineStr">
        <is>
          <t>Total pilot budget</t>
        </is>
      </c>
      <c r="B17" s="15" t="n"/>
      <c r="C17" s="15" t="n"/>
      <c r="D17" s="15" t="n"/>
      <c r="E17" s="15" t="n"/>
      <c r="F17" s="16" t="n"/>
      <c r="G17" s="15" t="n"/>
      <c r="H17" s="16">
        <f>SUM(H4:H16)</f>
        <v/>
      </c>
      <c r="I17" s="15" t="n"/>
      <c r="J17" s="15" t="n"/>
    </row>
  </sheetData>
  <mergeCells count="1">
    <mergeCell ref="A1:H1"/>
  </mergeCells>
  <dataValidations count="1">
    <dataValidation sqref="I4:I16" showDropDown="0" showInputMessage="0" showErrorMessage="0" allowBlank="1" type="list">
      <formula1>"Draft placeholder,Planning assumption,Needs owner input,Needs review,Needs quote,Needs model,Blocked,Pass if unchanged,Not approved,Approved,Needs live verification,Needs accounting setup,Formula 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8" customWidth="1" min="7" max="7"/>
    <col width="52" customWidth="1" min="8" max="8"/>
  </cols>
  <sheetData>
    <row r="1" ht="34" customHeight="1">
      <c r="A1" s="1" t="inlineStr">
        <is>
          <t>Grant Budget Template ? Per Funder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Cost category</t>
        </is>
      </c>
      <c r="B3" s="3" t="inlineStr">
        <is>
          <t>Requested grant</t>
        </is>
      </c>
      <c r="C3" s="3" t="inlineStr">
        <is>
          <t>Own contribution</t>
        </is>
      </c>
      <c r="D3" s="3" t="inlineStr">
        <is>
          <t>Total cost</t>
        </is>
      </c>
      <c r="E3" s="3" t="inlineStr">
        <is>
          <t>Eligible?</t>
        </is>
      </c>
      <c r="F3" s="3" t="inlineStr">
        <is>
          <t>Status</t>
        </is>
      </c>
      <c r="G3" s="3" t="inlineStr">
        <is>
          <t>Funder rule/source</t>
        </is>
      </c>
      <c r="H3" s="3" t="inlineStr">
        <is>
          <t>Notes</t>
        </is>
      </c>
    </row>
    <row r="4" ht="24" customHeight="1">
      <c r="A4" s="5" t="inlineStr">
        <is>
          <t>Project management / coordination</t>
        </is>
      </c>
      <c r="B4" s="12" t="n">
        <v>0</v>
      </c>
      <c r="C4" s="12" t="n">
        <v>0</v>
      </c>
      <c r="D4" s="12">
        <f>B4+C4</f>
        <v/>
      </c>
      <c r="E4" s="5" t="inlineStr">
        <is>
          <t>TBD</t>
        </is>
      </c>
      <c r="F4" s="9" t="inlineStr">
        <is>
          <t>Needs funder check</t>
        </is>
      </c>
      <c r="G4" s="5" t="inlineStr">
        <is>
          <t>TBD</t>
        </is>
      </c>
      <c r="H4" s="5" t="inlineStr">
        <is>
          <t>Eligible status depends on funder.</t>
        </is>
      </c>
    </row>
    <row r="5" ht="24" customHeight="1">
      <c r="A5" s="7" t="inlineStr">
        <is>
          <t>Research and validation</t>
        </is>
      </c>
      <c r="B5" s="10" t="n">
        <v>0</v>
      </c>
      <c r="C5" s="10" t="n">
        <v>0</v>
      </c>
      <c r="D5" s="10">
        <f>B5+C5</f>
        <v/>
      </c>
      <c r="E5" s="7" t="inlineStr">
        <is>
          <t>TBD</t>
        </is>
      </c>
      <c r="F5" s="9" t="inlineStr">
        <is>
          <t>Needs funder check</t>
        </is>
      </c>
      <c r="G5" s="7" t="inlineStr">
        <is>
          <t>TBD</t>
        </is>
      </c>
      <c r="H5" s="7" t="inlineStr">
        <is>
          <t>Interviews, analysis, repository.</t>
        </is>
      </c>
    </row>
    <row r="6" ht="24" customHeight="1">
      <c r="A6" s="5" t="inlineStr">
        <is>
          <t>Product/MVP development</t>
        </is>
      </c>
      <c r="B6" s="12" t="n">
        <v>0</v>
      </c>
      <c r="C6" s="12" t="n">
        <v>0</v>
      </c>
      <c r="D6" s="12">
        <f>B6+C6</f>
        <v/>
      </c>
      <c r="E6" s="5" t="inlineStr">
        <is>
          <t>TBD</t>
        </is>
      </c>
      <c r="F6" s="9" t="inlineStr">
        <is>
          <t>Needs funder check</t>
        </is>
      </c>
      <c r="G6" s="5" t="inlineStr">
        <is>
          <t>TBD</t>
        </is>
      </c>
      <c r="H6" s="5" t="inlineStr">
        <is>
          <t>May be limited for some public grants.</t>
        </is>
      </c>
    </row>
    <row r="7" ht="24" customHeight="1">
      <c r="A7" s="7" t="inlineStr">
        <is>
          <t>Design and user testing</t>
        </is>
      </c>
      <c r="B7" s="10" t="n">
        <v>0</v>
      </c>
      <c r="C7" s="10" t="n">
        <v>0</v>
      </c>
      <c r="D7" s="10">
        <f>B7+C7</f>
        <v/>
      </c>
      <c r="E7" s="7" t="inlineStr">
        <is>
          <t>TBD</t>
        </is>
      </c>
      <c r="F7" s="9" t="inlineStr">
        <is>
          <t>Needs funder check</t>
        </is>
      </c>
      <c r="G7" s="7" t="inlineStr">
        <is>
          <t>TBD</t>
        </is>
      </c>
      <c r="H7" s="7" t="inlineStr">
        <is>
          <t>Prototype, UX, accessibility testing.</t>
        </is>
      </c>
    </row>
    <row r="8" ht="24" customHeight="1">
      <c r="A8" s="5" t="inlineStr">
        <is>
          <t>Privacy/legal/child-safety review</t>
        </is>
      </c>
      <c r="B8" s="12" t="n">
        <v>0</v>
      </c>
      <c r="C8" s="12" t="n">
        <v>0</v>
      </c>
      <c r="D8" s="12">
        <f>B8+C8</f>
        <v/>
      </c>
      <c r="E8" s="5" t="inlineStr">
        <is>
          <t>TBD</t>
        </is>
      </c>
      <c r="F8" s="9" t="inlineStr">
        <is>
          <t>Needs funder check</t>
        </is>
      </c>
      <c r="G8" s="5" t="inlineStr">
        <is>
          <t>TBD</t>
        </is>
      </c>
      <c r="H8" s="5" t="inlineStr">
        <is>
          <t>Important but must match eligible costs.</t>
        </is>
      </c>
    </row>
    <row r="9" ht="24" customHeight="1">
      <c r="A9" s="7" t="inlineStr">
        <is>
          <t>Pilot operations</t>
        </is>
      </c>
      <c r="B9" s="10" t="n">
        <v>0</v>
      </c>
      <c r="C9" s="10" t="n">
        <v>0</v>
      </c>
      <c r="D9" s="10">
        <f>B9+C9</f>
        <v/>
      </c>
      <c r="E9" s="7" t="inlineStr">
        <is>
          <t>TBD</t>
        </is>
      </c>
      <c r="F9" s="9" t="inlineStr">
        <is>
          <t>Needs funder check</t>
        </is>
      </c>
      <c r="G9" s="7" t="inlineStr">
        <is>
          <t>TBD</t>
        </is>
      </c>
      <c r="H9" s="7" t="inlineStr">
        <is>
          <t>Oslo city-cell execution.</t>
        </is>
      </c>
    </row>
    <row r="10" ht="24" customHeight="1">
      <c r="A10" s="5" t="inlineStr">
        <is>
          <t>Community outreach</t>
        </is>
      </c>
      <c r="B10" s="12" t="n">
        <v>0</v>
      </c>
      <c r="C10" s="12" t="n">
        <v>0</v>
      </c>
      <c r="D10" s="12">
        <f>B10+C10</f>
        <v/>
      </c>
      <c r="E10" s="5" t="inlineStr">
        <is>
          <t>TBD</t>
        </is>
      </c>
      <c r="F10" s="9" t="inlineStr">
        <is>
          <t>Needs funder check</t>
        </is>
      </c>
      <c r="G10" s="5" t="inlineStr">
        <is>
          <t>TBD</t>
        </is>
      </c>
      <c r="H10" s="5" t="inlineStr">
        <is>
          <t>Recruitment, local partner activation.</t>
        </is>
      </c>
    </row>
    <row r="11" ht="24" customHeight="1">
      <c r="A11" s="7" t="inlineStr">
        <is>
          <t>Measurement/evaluation</t>
        </is>
      </c>
      <c r="B11" s="10" t="n">
        <v>0</v>
      </c>
      <c r="C11" s="10" t="n">
        <v>0</v>
      </c>
      <c r="D11" s="10">
        <f>B11+C11</f>
        <v/>
      </c>
      <c r="E11" s="7" t="inlineStr">
        <is>
          <t>TBD</t>
        </is>
      </c>
      <c r="F11" s="9" t="inlineStr">
        <is>
          <t>Needs funder check</t>
        </is>
      </c>
      <c r="G11" s="7" t="inlineStr">
        <is>
          <t>TBD</t>
        </is>
      </c>
      <c r="H11" s="7" t="inlineStr">
        <is>
          <t>Public-value evidence.</t>
        </is>
      </c>
    </row>
    <row r="12" ht="24" customHeight="1">
      <c r="A12" s="5" t="inlineStr">
        <is>
          <t>Communication/dissemination</t>
        </is>
      </c>
      <c r="B12" s="12" t="n">
        <v>0</v>
      </c>
      <c r="C12" s="12" t="n">
        <v>0</v>
      </c>
      <c r="D12" s="12">
        <f>B12+C12</f>
        <v/>
      </c>
      <c r="E12" s="5" t="inlineStr">
        <is>
          <t>TBD</t>
        </is>
      </c>
      <c r="F12" s="9" t="inlineStr">
        <is>
          <t>Needs funder check</t>
        </is>
      </c>
      <c r="G12" s="5" t="inlineStr">
        <is>
          <t>TBD</t>
        </is>
      </c>
      <c r="H12" s="5" t="inlineStr">
        <is>
          <t>May be capped or restricted.</t>
        </is>
      </c>
    </row>
    <row r="13" ht="24" customHeight="1">
      <c r="A13" s="7" t="inlineStr">
        <is>
          <t>Contingency/overhead</t>
        </is>
      </c>
      <c r="B13" s="10" t="n">
        <v>0</v>
      </c>
      <c r="C13" s="10" t="n">
        <v>0</v>
      </c>
      <c r="D13" s="10">
        <f>B13+C13</f>
        <v/>
      </c>
      <c r="E13" s="7" t="inlineStr">
        <is>
          <t>TBD</t>
        </is>
      </c>
      <c r="F13" s="9" t="inlineStr">
        <is>
          <t>Needs funder check</t>
        </is>
      </c>
      <c r="G13" s="7" t="inlineStr">
        <is>
          <t>TBD</t>
        </is>
      </c>
      <c r="H13" s="7" t="inlineStr">
        <is>
          <t>Often restricted; verify.</t>
        </is>
      </c>
    </row>
    <row r="14" ht="24" customHeight="1">
      <c r="A14" s="5" t="inlineStr">
        <is>
          <t>Total</t>
        </is>
      </c>
      <c r="B14" s="12">
        <f>SUM(B4:B13)</f>
        <v/>
      </c>
      <c r="C14" s="12">
        <f>SUM(C4:C13)</f>
        <v/>
      </c>
      <c r="D14" s="12">
        <f>SUM(D4:D13)</f>
        <v/>
      </c>
      <c r="E14" s="5" t="n"/>
      <c r="F14" s="5" t="n"/>
      <c r="G14" s="5" t="n"/>
      <c r="H14" s="5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56" customWidth="1" min="7" max="7"/>
  </cols>
  <sheetData>
    <row r="1" ht="34" customHeight="1">
      <c r="A1" s="1" t="inlineStr">
        <is>
          <t>Runway Scenario ? Draft Monthly Burn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Monthly cost category</t>
        </is>
      </c>
      <c r="B3" s="3" t="inlineStr">
        <is>
          <t>Conservative</t>
        </is>
      </c>
      <c r="C3" s="3" t="inlineStr">
        <is>
          <t>Base</t>
        </is>
      </c>
      <c r="D3" s="3" t="inlineStr">
        <is>
          <t>Upside</t>
        </is>
      </c>
      <c r="E3" s="3" t="inlineStr">
        <is>
          <t>Months</t>
        </is>
      </c>
      <c r="F3" s="3" t="inlineStr">
        <is>
          <t>Base period total</t>
        </is>
      </c>
      <c r="G3" s="3" t="inlineStr">
        <is>
          <t>Notes</t>
        </is>
      </c>
      <c r="H3" s="2" t="n"/>
    </row>
    <row r="4" ht="24" customHeight="1">
      <c r="A4" s="5" t="inlineStr">
        <is>
          <t>Founder/core operations</t>
        </is>
      </c>
      <c r="B4" s="12" t="n">
        <v>0</v>
      </c>
      <c r="C4" s="12" t="n">
        <v>0</v>
      </c>
      <c r="D4" s="12" t="n">
        <v>0</v>
      </c>
      <c r="E4" s="5" t="n">
        <v>18</v>
      </c>
      <c r="F4" s="12">
        <f>C4*E4</f>
        <v/>
      </c>
      <c r="G4" s="5" t="inlineStr">
        <is>
          <t>Founder/controller input required.</t>
        </is>
      </c>
      <c r="H4" s="2" t="n"/>
    </row>
    <row r="5" ht="24" customHeight="1">
      <c r="A5" s="7" t="inlineStr">
        <is>
          <t>Product/tech team or contractors</t>
        </is>
      </c>
      <c r="B5" s="10" t="n">
        <v>0</v>
      </c>
      <c r="C5" s="10" t="n">
        <v>0</v>
      </c>
      <c r="D5" s="10" t="n">
        <v>0</v>
      </c>
      <c r="E5" s="7" t="n">
        <v>12</v>
      </c>
      <c r="F5" s="10">
        <f>C5*E5</f>
        <v/>
      </c>
      <c r="G5" s="7" t="inlineStr">
        <is>
          <t>Depends on MVP scope and build route.</t>
        </is>
      </c>
      <c r="H5" s="2" t="n"/>
    </row>
    <row r="6" ht="24" customHeight="1">
      <c r="A6" s="5" t="inlineStr">
        <is>
          <t>Design/content/brand production</t>
        </is>
      </c>
      <c r="B6" s="12" t="n">
        <v>0</v>
      </c>
      <c r="C6" s="12" t="n">
        <v>0</v>
      </c>
      <c r="D6" s="12" t="n">
        <v>0</v>
      </c>
      <c r="E6" s="5" t="n">
        <v>9</v>
      </c>
      <c r="F6" s="12">
        <f>C6*E6</f>
        <v/>
      </c>
      <c r="G6" s="5" t="inlineStr">
        <is>
          <t>Decks, website, product design system.</t>
        </is>
      </c>
      <c r="H6" s="2" t="n"/>
    </row>
    <row r="7" ht="24" customHeight="1">
      <c r="A7" s="7" t="inlineStr">
        <is>
          <t>Research/validation operations</t>
        </is>
      </c>
      <c r="B7" s="10" t="n">
        <v>0</v>
      </c>
      <c r="C7" s="10" t="n">
        <v>0</v>
      </c>
      <c r="D7" s="10" t="n">
        <v>0</v>
      </c>
      <c r="E7" s="7" t="n">
        <v>3</v>
      </c>
      <c r="F7" s="10">
        <f>C7*E7</f>
        <v/>
      </c>
      <c r="G7" s="7" t="inlineStr">
        <is>
          <t>90-day validation.</t>
        </is>
      </c>
      <c r="H7" s="2" t="n"/>
    </row>
    <row r="8" ht="24" customHeight="1">
      <c r="A8" s="5" t="inlineStr">
        <is>
          <t>Privacy/legal/T&amp;S</t>
        </is>
      </c>
      <c r="B8" s="12" t="n">
        <v>0</v>
      </c>
      <c r="C8" s="12" t="n">
        <v>0</v>
      </c>
      <c r="D8" s="12" t="n">
        <v>0</v>
      </c>
      <c r="E8" s="5" t="n">
        <v>9</v>
      </c>
      <c r="F8" s="12">
        <f>C8*E8</f>
        <v/>
      </c>
      <c r="G8" s="5" t="inlineStr">
        <is>
          <t>DPIA, policy, review, incident process.</t>
        </is>
      </c>
      <c r="H8" s="2" t="n"/>
    </row>
    <row r="9" ht="24" customHeight="1">
      <c r="A9" s="7" t="inlineStr">
        <is>
          <t>Oslo pilot operations</t>
        </is>
      </c>
      <c r="B9" s="10" t="n">
        <v>0</v>
      </c>
      <c r="C9" s="10" t="n">
        <v>0</v>
      </c>
      <c r="D9" s="10" t="n">
        <v>0</v>
      </c>
      <c r="E9" s="7" t="n">
        <v>6</v>
      </c>
      <c r="F9" s="10">
        <f>C9*E9</f>
        <v/>
      </c>
      <c r="G9" s="7" t="inlineStr">
        <is>
          <t>City-cell launch and controlled pilot.</t>
        </is>
      </c>
      <c r="H9" s="2" t="n"/>
    </row>
    <row r="10" ht="24" customHeight="1">
      <c r="A10" s="5" t="inlineStr">
        <is>
          <t>Marketing/community growth</t>
        </is>
      </c>
      <c r="B10" s="12" t="n">
        <v>0</v>
      </c>
      <c r="C10" s="12" t="n">
        <v>0</v>
      </c>
      <c r="D10" s="12" t="n">
        <v>0</v>
      </c>
      <c r="E10" s="5" t="n">
        <v>9</v>
      </c>
      <c r="F10" s="12">
        <f>C10*E10</f>
        <v/>
      </c>
      <c r="G10" s="5" t="inlineStr">
        <is>
          <t>Parent recruitment, organiser activation.</t>
        </is>
      </c>
      <c r="H10" s="2" t="n"/>
    </row>
    <row r="11" ht="24" customHeight="1">
      <c r="A11" s="7" t="inlineStr">
        <is>
          <t>Tools/software/infrastructure</t>
        </is>
      </c>
      <c r="B11" s="10" t="n">
        <v>0</v>
      </c>
      <c r="C11" s="10" t="n">
        <v>0</v>
      </c>
      <c r="D11" s="10" t="n">
        <v>0</v>
      </c>
      <c r="E11" s="7" t="n">
        <v>18</v>
      </c>
      <c r="F11" s="10">
        <f>C11*E11</f>
        <v/>
      </c>
      <c r="G11" s="9" t="inlineStr">
        <is>
          <t>Needs stack decision.</t>
        </is>
      </c>
      <c r="H11" s="2" t="n"/>
    </row>
    <row r="12" ht="24" customHeight="1">
      <c r="A12" s="5" t="inlineStr">
        <is>
          <t>Accounting/admin/company setup</t>
        </is>
      </c>
      <c r="B12" s="12" t="n">
        <v>0</v>
      </c>
      <c r="C12" s="12" t="n">
        <v>0</v>
      </c>
      <c r="D12" s="12" t="n">
        <v>0</v>
      </c>
      <c r="E12" s="5" t="n">
        <v>18</v>
      </c>
      <c r="F12" s="12">
        <f>C12*E12</f>
        <v/>
      </c>
      <c r="G12" s="5" t="inlineStr">
        <is>
          <t>Depends on ALANAR AS setup.</t>
        </is>
      </c>
      <c r="H12" s="2" t="n"/>
    </row>
    <row r="13" ht="24" customHeight="1">
      <c r="A13" s="15" t="inlineStr">
        <is>
          <t>Total base burn</t>
        </is>
      </c>
      <c r="B13" s="16" t="n"/>
      <c r="C13" s="16" t="n"/>
      <c r="D13" s="16" t="n"/>
      <c r="E13" s="15" t="n"/>
      <c r="F13" s="16">
        <f>SUM(F4:F12)</f>
        <v/>
      </c>
      <c r="G13" s="15" t="n"/>
      <c r="H13" s="2" t="n"/>
    </row>
    <row r="14" ht="24" customHeight="1">
      <c r="A14" s="5" t="inlineStr">
        <is>
          <t>Planning round total</t>
        </is>
      </c>
      <c r="B14" s="12" t="n"/>
      <c r="C14" s="12" t="n"/>
      <c r="D14" s="12" t="n"/>
      <c r="E14" s="5" t="n"/>
      <c r="F14" s="12">
        <f>Inputs!B5</f>
        <v/>
      </c>
      <c r="G14" s="5" t="n"/>
      <c r="H14" s="2" t="n"/>
    </row>
    <row r="15" ht="24" customHeight="1">
      <c r="A15" s="9" t="inlineStr">
        <is>
          <t>Remaining after base burn</t>
        </is>
      </c>
      <c r="B15" s="17" t="n"/>
      <c r="C15" s="17" t="n"/>
      <c r="D15" s="17" t="n"/>
      <c r="E15" s="9" t="n"/>
      <c r="F15" s="17">
        <f>F14-F13</f>
        <v/>
      </c>
      <c r="G15" s="9" t="n"/>
      <c r="H15" s="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22" customWidth="1" min="4" max="4"/>
    <col width="20" customWidth="1" min="5" max="5"/>
    <col width="48" customWidth="1" min="6" max="6"/>
    <col width="38" customWidth="1" min="7" max="7"/>
  </cols>
  <sheetData>
    <row r="1" ht="34" customHeight="1">
      <c r="A1" s="1" t="inlineStr">
        <is>
          <t>Revenue Assumptions ? Evidence Labels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Revenue layer</t>
        </is>
      </c>
      <c r="B3" s="3" t="inlineStr">
        <is>
          <t>Stage</t>
        </is>
      </c>
      <c r="C3" s="3" t="inlineStr">
        <is>
          <t>Evidence status</t>
        </is>
      </c>
      <c r="D3" s="3" t="inlineStr">
        <is>
          <t>Owner</t>
        </is>
      </c>
      <c r="E3" s="3" t="inlineStr">
        <is>
          <t>Claim/control</t>
        </is>
      </c>
      <c r="F3" s="3" t="inlineStr">
        <is>
          <t>What must be proven</t>
        </is>
      </c>
      <c r="G3" s="3" t="inlineStr">
        <is>
          <t>Notes</t>
        </is>
      </c>
      <c r="H3" s="2" t="n"/>
    </row>
    <row r="4" ht="24" customHeight="1">
      <c r="A4" s="5" t="inlineStr">
        <is>
          <t>Organiser tools/subscriptions</t>
        </is>
      </c>
      <c r="B4" s="5" t="inlineStr">
        <is>
          <t>Post-validation / pilot</t>
        </is>
      </c>
      <c r="C4" s="9" t="inlineStr">
        <is>
          <t>Planning assumption</t>
        </is>
      </c>
      <c r="D4" s="5" t="inlineStr">
        <is>
          <t>Founder + finance</t>
        </is>
      </c>
      <c r="E4" s="5" t="inlineStr">
        <is>
          <t>C-018</t>
        </is>
      </c>
      <c r="F4" s="5" t="inlineStr">
        <is>
          <t>Organisers will pay for tools after seeing value.</t>
        </is>
      </c>
      <c r="G4" s="8" t="inlineStr">
        <is>
          <t>Pricing not approved.</t>
        </is>
      </c>
      <c r="H4" s="2" t="n"/>
    </row>
    <row r="5" ht="24" customHeight="1">
      <c r="A5" s="7" t="inlineStr">
        <is>
          <t>Activity/event fees</t>
        </is>
      </c>
      <c r="B5" s="7" t="inlineStr">
        <is>
          <t>Pilot / post-pilot</t>
        </is>
      </c>
      <c r="C5" s="9" t="inlineStr">
        <is>
          <t>Planning assumption</t>
        </is>
      </c>
      <c r="D5" s="7" t="inlineStr">
        <is>
          <t>Founder + finance</t>
        </is>
      </c>
      <c r="E5" s="7" t="inlineStr">
        <is>
          <t>C-018</t>
        </is>
      </c>
      <c r="F5" s="7" t="inlineStr">
        <is>
          <t>Families complete registration/action flow and fee model is acceptable.</t>
        </is>
      </c>
      <c r="G5" s="9" t="inlineStr">
        <is>
          <t>Could conflict with inclusion goals; needs care.</t>
        </is>
      </c>
      <c r="H5" s="2" t="n"/>
    </row>
    <row r="6" ht="24" customHeight="1">
      <c r="A6" s="5" t="inlineStr">
        <is>
          <t>Marketplace/reuse/rental fees</t>
        </is>
      </c>
      <c r="B6" s="5" t="inlineStr">
        <is>
          <t>Later MVP / Phase 2</t>
        </is>
      </c>
      <c r="C6" s="9" t="inlineStr">
        <is>
          <t>Planning assumption</t>
        </is>
      </c>
      <c r="D6" s="5" t="inlineStr">
        <is>
          <t>Founder + finance</t>
        </is>
      </c>
      <c r="E6" s="5" t="inlineStr">
        <is>
          <t>C-018</t>
        </is>
      </c>
      <c r="F6" s="5" t="inlineStr">
        <is>
          <t>Trusted supply, transactions, dispute handling.</t>
        </is>
      </c>
      <c r="G6" s="5" t="inlineStr">
        <is>
          <t>Not first proof point unless selected.</t>
        </is>
      </c>
      <c r="H6" s="2" t="n"/>
    </row>
    <row r="7" ht="24" customHeight="1">
      <c r="A7" s="7" t="inlineStr">
        <is>
          <t>Affiliate/partner commerce</t>
        </is>
      </c>
      <c r="B7" s="7" t="inlineStr">
        <is>
          <t>Post-pilot</t>
        </is>
      </c>
      <c r="C7" s="9" t="inlineStr">
        <is>
          <t>Planning assumption</t>
        </is>
      </c>
      <c r="D7" s="7" t="inlineStr">
        <is>
          <t>Commercial owner</t>
        </is>
      </c>
      <c r="E7" s="7" t="inlineStr">
        <is>
          <t>C-018</t>
        </is>
      </c>
      <c r="F7" s="7" t="inlineStr">
        <is>
          <t>Partners convert without harming trust.</t>
        </is>
      </c>
      <c r="G7" s="7" t="inlineStr">
        <is>
          <t>Must be transparent and labelled.</t>
        </is>
      </c>
      <c r="H7" s="2" t="n"/>
    </row>
    <row r="8" ht="24" customHeight="1">
      <c r="A8" s="5" t="inlineStr">
        <is>
          <t>Expert/service commissions</t>
        </is>
      </c>
      <c r="B8" s="5" t="inlineStr">
        <is>
          <t>Later MVP / post-pilot</t>
        </is>
      </c>
      <c r="C8" s="9" t="inlineStr">
        <is>
          <t>Planning assumption</t>
        </is>
      </c>
      <c r="D8" s="5" t="inlineStr">
        <is>
          <t>Commercial owner</t>
        </is>
      </c>
      <c r="E8" s="5" t="inlineStr">
        <is>
          <t>C-018</t>
        </is>
      </c>
      <c r="F8" s="5" t="inlineStr">
        <is>
          <t>Verified experts, booking flow, cancellation/refund rules.</t>
        </is>
      </c>
      <c r="G8" s="5" t="inlineStr">
        <is>
          <t>Higher trust burden.</t>
        </is>
      </c>
      <c r="H8" s="2" t="n"/>
    </row>
    <row r="9" ht="24" customHeight="1">
      <c r="A9" s="7" t="inlineStr">
        <is>
          <t>Municipality/public-value pilots</t>
        </is>
      </c>
      <c r="B9" s="7" t="inlineStr">
        <is>
          <t>Pilot / post-pilot</t>
        </is>
      </c>
      <c r="C9" s="7" t="inlineStr">
        <is>
          <t>Hypothesis</t>
        </is>
      </c>
      <c r="D9" s="7" t="inlineStr">
        <is>
          <t>Public-sector lead</t>
        </is>
      </c>
      <c r="E9" s="7" t="inlineStr">
        <is>
          <t>C-019/C-020</t>
        </is>
      </c>
      <c r="F9" s="7" t="inlineStr">
        <is>
          <t>Partners value aggregated insight and support continued pilot.</t>
        </is>
      </c>
      <c r="G9" s="7" t="inlineStr">
        <is>
          <t>No measured impact yet.</t>
        </is>
      </c>
      <c r="H9" s="2" t="n"/>
    </row>
    <row r="10" ht="24" customHeight="1">
      <c r="A10" s="5" t="inlineStr">
        <is>
          <t>B2B API/integrations</t>
        </is>
      </c>
      <c r="B10" s="5" t="inlineStr">
        <is>
          <t>Later stage</t>
        </is>
      </c>
      <c r="C10" s="9" t="inlineStr">
        <is>
          <t>Planning assumption</t>
        </is>
      </c>
      <c r="D10" s="5" t="inlineStr">
        <is>
          <t>B2B/product/tech</t>
        </is>
      </c>
      <c r="E10" s="5" t="inlineStr">
        <is>
          <t>C-018</t>
        </is>
      </c>
      <c r="F10" s="5" t="inlineStr">
        <is>
          <t>Partner demand and technical feasibility.</t>
        </is>
      </c>
      <c r="G10" s="5" t="inlineStr">
        <is>
          <t>Do not claim API readiness yet.</t>
        </is>
      </c>
      <c r="H10" s="2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52" customWidth="1" min="3" max="3"/>
    <col width="30" customWidth="1" min="4" max="4"/>
  </cols>
  <sheetData>
    <row r="1" ht="34" customHeight="1">
      <c r="A1" s="1" t="inlineStr">
        <is>
          <t>Finance QA Checks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Check</t>
        </is>
      </c>
      <c r="B3" s="3" t="inlineStr">
        <is>
          <t>Status</t>
        </is>
      </c>
      <c r="C3" s="3" t="inlineStr">
        <is>
          <t>What to verify</t>
        </is>
      </c>
      <c r="D3" s="3" t="inlineStr">
        <is>
          <t>Owner</t>
        </is>
      </c>
      <c r="E3" s="2" t="n"/>
      <c r="F3" s="2" t="n"/>
      <c r="G3" s="2" t="n"/>
      <c r="H3" s="2" t="n"/>
    </row>
    <row r="4" ht="24" customHeight="1">
      <c r="A4" s="9" t="inlineStr">
        <is>
          <t>NOK 20m is labelled as planning assumption</t>
        </is>
      </c>
      <c r="B4" s="5" t="inlineStr">
        <is>
          <t>Pass if unchanged</t>
        </is>
      </c>
      <c r="C4" s="5" t="inlineStr">
        <is>
          <t>Do not describe as raised capital.</t>
        </is>
      </c>
      <c r="D4" s="5" t="inlineStr">
        <is>
          <t>Finance/controller</t>
        </is>
      </c>
      <c r="E4" s="2" t="n"/>
      <c r="F4" s="2" t="n"/>
      <c r="G4" s="2" t="n"/>
      <c r="H4" s="2" t="n"/>
    </row>
    <row r="5" ht="24" customHeight="1">
      <c r="A5" s="7" t="inlineStr">
        <is>
          <t>Investor ask separated from grant budgets</t>
        </is>
      </c>
      <c r="B5" s="9" t="inlineStr">
        <is>
          <t>Needs review</t>
        </is>
      </c>
      <c r="C5" s="7" t="inlineStr">
        <is>
          <t>Investor_Use_of_Funds cannot be copied into grant applications.</t>
        </is>
      </c>
      <c r="D5" s="7" t="inlineStr">
        <is>
          <t>Finance/controller</t>
        </is>
      </c>
      <c r="E5" s="2" t="n"/>
      <c r="F5" s="2" t="n"/>
      <c r="G5" s="2" t="n"/>
      <c r="H5" s="2" t="n"/>
    </row>
    <row r="6" ht="24" customHeight="1">
      <c r="A6" s="5" t="inlineStr">
        <is>
          <t>Grant budget follows funder rules</t>
        </is>
      </c>
      <c r="B6" s="9" t="inlineStr">
        <is>
          <t>Needs live verification</t>
        </is>
      </c>
      <c r="C6" s="5" t="inlineStr">
        <is>
          <t>Use Grant Eligibility Memo Template per route.</t>
        </is>
      </c>
      <c r="D6" s="5" t="inlineStr">
        <is>
          <t>Funding owner</t>
        </is>
      </c>
      <c r="E6" s="2" t="n"/>
      <c r="F6" s="2" t="n"/>
      <c r="G6" s="2" t="n"/>
      <c r="H6" s="2" t="n"/>
    </row>
    <row r="7" ht="24" customHeight="1">
      <c r="A7" s="7" t="inlineStr">
        <is>
          <t>Oslo pilot budget is separate from full company budget</t>
        </is>
      </c>
      <c r="B7" s="9" t="inlineStr">
        <is>
          <t>Needs review</t>
        </is>
      </c>
      <c r="C7" s="7" t="inlineStr">
        <is>
          <t>Pilot budget tests city-cell, not national rollout.</t>
        </is>
      </c>
      <c r="D7" s="7" t="inlineStr">
        <is>
          <t>Pilot + finance owner</t>
        </is>
      </c>
      <c r="E7" s="2" t="n"/>
      <c r="F7" s="2" t="n"/>
      <c r="G7" s="2" t="n"/>
      <c r="H7" s="2" t="n"/>
    </row>
    <row r="8" ht="24" customHeight="1">
      <c r="A8" s="5" t="inlineStr">
        <is>
          <t>Actual expenditure is not mixed with forecasts</t>
        </is>
      </c>
      <c r="B8" s="9" t="inlineStr">
        <is>
          <t>Needs accounting setup</t>
        </is>
      </c>
      <c r="C8" s="5" t="inlineStr">
        <is>
          <t>Create actual spend log after company/accounting is active.</t>
        </is>
      </c>
      <c r="D8" s="5" t="inlineStr">
        <is>
          <t>Finance/controller</t>
        </is>
      </c>
      <c r="E8" s="2" t="n"/>
      <c r="F8" s="2" t="n"/>
      <c r="G8" s="2" t="n"/>
      <c r="H8" s="2" t="n"/>
    </row>
    <row r="9" ht="24" customHeight="1">
      <c r="A9" s="7" t="inlineStr">
        <is>
          <t>Revenue layers are not described as proven</t>
        </is>
      </c>
      <c r="B9" s="7" t="inlineStr">
        <is>
          <t>Pass if unchanged</t>
        </is>
      </c>
      <c r="C9" s="7" t="inlineStr">
        <is>
          <t>Use C-018 wording.</t>
        </is>
      </c>
      <c r="D9" s="7" t="inlineStr">
        <is>
          <t>Founder + finance</t>
        </is>
      </c>
      <c r="E9" s="2" t="n"/>
      <c r="F9" s="2" t="n"/>
      <c r="G9" s="2" t="n"/>
      <c r="H9" s="2" t="n"/>
    </row>
    <row r="10" ht="24" customHeight="1">
      <c r="A10" s="5" t="inlineStr">
        <is>
          <t>Privacy/legal/T&amp;S costs are included</t>
        </is>
      </c>
      <c r="B10" s="9" t="inlineStr">
        <is>
          <t>Needs owner input</t>
        </is>
      </c>
      <c r="C10" s="5" t="inlineStr">
        <is>
          <t>Do not remove safety costs from model.</t>
        </is>
      </c>
      <c r="D10" s="5" t="inlineStr">
        <is>
          <t>Privacy/T&amp;S + finance</t>
        </is>
      </c>
      <c r="E10" s="2" t="n"/>
      <c r="F10" s="2" t="n"/>
      <c r="G10" s="2" t="n"/>
      <c r="H10" s="2" t="n"/>
    </row>
    <row r="11" ht="24" customHeight="1">
      <c r="A11" s="7" t="inlineStr">
        <is>
          <t>External finance wording approved before sharing</t>
        </is>
      </c>
      <c r="B11" s="8" t="inlineStr">
        <is>
          <t>Blocked</t>
        </is>
      </c>
      <c r="C11" s="7" t="inlineStr">
        <is>
          <t>Founder + finance signoff required.</t>
        </is>
      </c>
      <c r="D11" s="7" t="inlineStr">
        <is>
          <t>Founder + finance</t>
        </is>
      </c>
      <c r="E11" s="2" t="n"/>
      <c r="F11" s="2" t="n"/>
      <c r="G11" s="2" t="n"/>
      <c r="H11" s="2" t="n"/>
    </row>
  </sheetData>
  <mergeCells count="1">
    <mergeCell ref="A1:H1"/>
  </mergeCells>
  <dataValidations count="1">
    <dataValidation sqref="B4:B11" showDropDown="0" showInputMessage="0" showErrorMessage="0" allowBlank="1" type="list">
      <formula1>"Draft placeholder,Planning assumption,Needs owner input,Needs review,Needs quote,Needs model,Blocked,Pass if unchanged,Not approved,Approved,Needs live verification,Needs accounting setup,Formula 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2026-07-18T10:19:43Z</dcterms:created>
  <dcterms:modified xmlns:dcterms="http://purl.org/dc/terms/" xmlns:xsi="http://www.w3.org/2001/XMLSchema-instance" xsi:type="dcterms:W3CDTF">2026-07-18T10:19:43Z</dcterms:modified>
</cp:coreProperties>
</file>